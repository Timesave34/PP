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anbe\PyPen1\"/>
    </mc:Choice>
  </mc:AlternateContent>
  <xr:revisionPtr revIDLastSave="0" documentId="13_ncr:1_{62E89212-57E1-459B-BBDA-13498C6EF6D3}" xr6:coauthVersionLast="47" xr6:coauthVersionMax="47" xr10:uidLastSave="{00000000-0000-0000-0000-000000000000}"/>
  <bookViews>
    <workbookView xWindow="6525" yWindow="2535" windowWidth="13935" windowHeight="10305" xr2:uid="{00000000-000D-0000-FFFF-FFFF00000000}"/>
  </bookViews>
  <sheets>
    <sheet name="Inputs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2" l="1"/>
  <c r="S9" i="2"/>
  <c r="T9" i="2" s="1"/>
</calcChain>
</file>

<file path=xl/sharedStrings.xml><?xml version="1.0" encoding="utf-8"?>
<sst xmlns="http://schemas.openxmlformats.org/spreadsheetml/2006/main" count="59" uniqueCount="55">
  <si>
    <t>Yearly addition to pension (£) before retirement. Set to 0 as you’re retired. Non-zero values would grow the balance, improving success rate.</t>
  </si>
  <si>
    <t>Extra yearly spending (£) until Holiday End Age, grows with inflation. £8,000 adds to £25,000 base, shown in blue chart segment.</t>
  </si>
  <si>
    <t>Age when holiday expenses stop. At 80, spending drops to base (£25,000, inflation-adjusted, ~£27,517 at 81), reducing</t>
  </si>
  <si>
    <t>Average annual investment return (5%). Higher returns grow balance faster, increasing success rate and median balance (~£756,411.71 at 95).</t>
  </si>
  <si>
    <t>Variability of returns (12%). Higher volatility increases risk of low returns, lowering success rate (87%) and median balance due to potential losses.</t>
  </si>
  <si>
    <t>Annual state pension (£) at start age (67). £17,040 reduces net drawdown (~£15,960 initially), boosting balance and success rate.</t>
  </si>
  <si>
    <t>Age when state pension begins. Earlier start (e.g., 65) increases balance by reducing drawdowns sooner.</t>
  </si>
  <si>
    <t>Annual growth of state pension (4%). Higher growth (e.g., 5%) increases pension income, supporting higher balance and success rate.</t>
  </si>
  <si>
    <t>Number of Monte Carlo simulations. 1,000 ensures reliable success rate (87%) and median balance estimates. Higher values improve accuracy but slow the model.</t>
  </si>
  <si>
    <t>Comma-separated inflation rates (e.g., 3.8%, 3.4%) applied for Years per Rate.</t>
  </si>
  <si>
    <t>Number of years each inflation rate applies before moving to the next.</t>
  </si>
  <si>
    <t>Annual spending (£) ages 58-68, grows with inflation.</t>
  </si>
  <si>
    <t>Annual spending (£) ages 81-95, grows with inflation.</t>
  </si>
  <si>
    <t>Annual spending (£) ages 69-80, grows with inflation.</t>
  </si>
  <si>
    <t>Label</t>
  </si>
  <si>
    <t>Data</t>
  </si>
  <si>
    <t>2000-62,4000-65</t>
  </si>
  <si>
    <t>0.038,0.034,0.032,0.030,0.028,0.026,0.024,0.022,0.020</t>
  </si>
  <si>
    <t>Dentist</t>
  </si>
  <si>
    <t>Mr Ho, Dental Hospital.</t>
  </si>
  <si>
    <t>Telephone appointment.</t>
  </si>
  <si>
    <t>Data Base Plan Success Rate: 82.87%</t>
  </si>
  <si>
    <t>Suggested Expenses (Comparison Plan): Go-Go £24,871, Slow-Go £21,140, No-Go £18,253 (holidays £8,000 unchanged)</t>
  </si>
  <si>
    <t>fixed</t>
  </si>
  <si>
    <t>fixed or variable</t>
  </si>
  <si>
    <t>0.04 = 4%</t>
  </si>
  <si>
    <t>Pension Value</t>
  </si>
  <si>
    <t>ISA Value</t>
  </si>
  <si>
    <t>Taxable Account</t>
  </si>
  <si>
    <t>Cash Reserve</t>
  </si>
  <si>
    <t>Current Age</t>
  </si>
  <si>
    <t>Retirement Age</t>
  </si>
  <si>
    <t>Life Expectancy</t>
  </si>
  <si>
    <t>Annual Contribution</t>
  </si>
  <si>
    <t>Base Expenses Go-Go</t>
  </si>
  <si>
    <t>Base Expenses Slow-Go</t>
  </si>
  <si>
    <t>Base Expenses No-Go</t>
  </si>
  <si>
    <t>Holiday Expenses</t>
  </si>
  <si>
    <t>Holiday End Age</t>
  </si>
  <si>
    <t>Expected Return</t>
  </si>
  <si>
    <t>Return Volatility</t>
  </si>
  <si>
    <t>Gifts</t>
  </si>
  <si>
    <t>Inflation Rates</t>
  </si>
  <si>
    <t>Years per rate</t>
  </si>
  <si>
    <t>State Pension</t>
  </si>
  <si>
    <t>State Pension Start Age</t>
  </si>
  <si>
    <t>Pension Growth</t>
  </si>
  <si>
    <t>Num Simulations</t>
  </si>
  <si>
    <t>Final Balance</t>
  </si>
  <si>
    <t>Withdrawal Mode</t>
  </si>
  <si>
    <t>Variable Withdrawal Rate</t>
  </si>
  <si>
    <t>Inflation Return Correlation</t>
  </si>
  <si>
    <t>Inflation Volatility</t>
  </si>
  <si>
    <t>100-62,100-65</t>
  </si>
  <si>
    <t>old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</si>
</sst>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14" fontId="0" fillId="0" borderId="0" xfId="0" applyNumberFormat="1"/>
    <xf numFmtId="3" fontId="3" fillId="2" borderId="0" xfId="0" applyNumberFormat="1" applyFont="1" applyFill="1" applyAlignment="1">
      <alignment horizontal="right"/>
    </xf>
    <xf numFmtId="0" fontId="0" fillId="0" borderId="0" xfId="0" applyAlignment="1">
      <alignment horizontal="right" wrapText="1"/>
    </xf>
    <xf numFmtId="0" fontId="0" fillId="2" borderId="0" xfId="0" applyFill="1" applyAlignment="1">
      <alignment horizontal="right" wrapText="1"/>
    </xf>
    <xf numFmtId="1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3BD7-74C0-46C7-A729-C687C72DB22B}">
  <sheetPr codeName="Sheet1"/>
  <dimension ref="A1:T28"/>
  <sheetViews>
    <sheetView tabSelected="1" zoomScale="80" zoomScaleNormal="80" workbookViewId="0">
      <selection activeCell="B5" sqref="B5"/>
    </sheetView>
  </sheetViews>
  <sheetFormatPr defaultRowHeight="15" x14ac:dyDescent="0.25"/>
  <cols>
    <col min="1" max="1" width="24.42578125" bestFit="1" customWidth="1"/>
    <col min="2" max="2" width="64.85546875" style="1" customWidth="1"/>
    <col min="3" max="3" width="24" customWidth="1"/>
    <col min="4" max="4" width="11.5703125" bestFit="1" customWidth="1"/>
    <col min="5" max="5" width="4.5703125" bestFit="1" customWidth="1"/>
    <col min="9" max="9" width="26.85546875" style="1" customWidth="1"/>
    <col min="11" max="11" width="29.85546875" style="1" customWidth="1"/>
    <col min="17" max="17" width="11.5703125" bestFit="1" customWidth="1"/>
    <col min="18" max="18" width="24.5703125" bestFit="1" customWidth="1"/>
  </cols>
  <sheetData>
    <row r="1" spans="1:20" x14ac:dyDescent="0.25">
      <c r="A1" t="s">
        <v>14</v>
      </c>
      <c r="B1" s="1" t="s">
        <v>15</v>
      </c>
      <c r="C1" t="s">
        <v>54</v>
      </c>
      <c r="I1" s="1" t="s">
        <v>21</v>
      </c>
      <c r="K1" s="1" t="s">
        <v>15</v>
      </c>
    </row>
    <row r="2" spans="1:20" x14ac:dyDescent="0.25">
      <c r="A2" s="2" t="s">
        <v>30</v>
      </c>
      <c r="B2" s="9">
        <v>59</v>
      </c>
      <c r="I2" s="3">
        <v>58</v>
      </c>
      <c r="K2" s="3">
        <v>58</v>
      </c>
      <c r="Q2" s="5">
        <v>45889</v>
      </c>
      <c r="R2" t="s">
        <v>18</v>
      </c>
    </row>
    <row r="3" spans="1:20" x14ac:dyDescent="0.25">
      <c r="A3" s="2" t="s">
        <v>31</v>
      </c>
      <c r="B3" s="9">
        <v>59</v>
      </c>
      <c r="I3" s="3">
        <v>58</v>
      </c>
      <c r="K3" s="3">
        <v>58</v>
      </c>
      <c r="Q3" s="5">
        <v>45891</v>
      </c>
      <c r="R3" t="s">
        <v>19</v>
      </c>
      <c r="S3">
        <f>Q3-Q2</f>
        <v>2</v>
      </c>
    </row>
    <row r="4" spans="1:20" x14ac:dyDescent="0.25">
      <c r="A4" s="2" t="s">
        <v>32</v>
      </c>
      <c r="B4" s="9">
        <v>95</v>
      </c>
      <c r="I4" s="3">
        <v>95</v>
      </c>
      <c r="K4" s="3">
        <v>95</v>
      </c>
    </row>
    <row r="5" spans="1:20" x14ac:dyDescent="0.25">
      <c r="A5" s="14" t="s">
        <v>26</v>
      </c>
      <c r="B5" s="14">
        <v>550000</v>
      </c>
    </row>
    <row r="6" spans="1:20" x14ac:dyDescent="0.25">
      <c r="A6" s="14" t="s">
        <v>27</v>
      </c>
      <c r="B6" s="14">
        <v>25000</v>
      </c>
    </row>
    <row r="7" spans="1:20" x14ac:dyDescent="0.25">
      <c r="A7" s="14" t="s">
        <v>28</v>
      </c>
      <c r="B7" s="14">
        <v>10000</v>
      </c>
    </row>
    <row r="8" spans="1:20" x14ac:dyDescent="0.25">
      <c r="A8" s="14" t="s">
        <v>29</v>
      </c>
      <c r="B8" s="14">
        <v>5000</v>
      </c>
    </row>
    <row r="9" spans="1:20" x14ac:dyDescent="0.25">
      <c r="A9" s="2" t="s">
        <v>33</v>
      </c>
      <c r="B9" s="9">
        <v>0</v>
      </c>
      <c r="C9" t="s">
        <v>0</v>
      </c>
      <c r="I9" s="3">
        <v>0</v>
      </c>
      <c r="K9" s="3">
        <v>0</v>
      </c>
      <c r="Q9" s="5">
        <v>45944</v>
      </c>
      <c r="R9" t="s">
        <v>20</v>
      </c>
      <c r="S9">
        <f>Q9-Q2</f>
        <v>55</v>
      </c>
      <c r="T9">
        <f>S9/7</f>
        <v>7.8571428571428568</v>
      </c>
    </row>
    <row r="10" spans="1:20" x14ac:dyDescent="0.25">
      <c r="A10" s="2" t="s">
        <v>34</v>
      </c>
      <c r="B10" s="9">
        <v>25500</v>
      </c>
      <c r="C10" t="s">
        <v>11</v>
      </c>
      <c r="I10" s="6">
        <v>25479</v>
      </c>
      <c r="K10" s="4">
        <v>35000</v>
      </c>
    </row>
    <row r="11" spans="1:20" x14ac:dyDescent="0.25">
      <c r="A11" s="2" t="s">
        <v>35</v>
      </c>
      <c r="B11" s="9">
        <v>23000</v>
      </c>
      <c r="C11" t="s">
        <v>13</v>
      </c>
      <c r="I11" s="6">
        <v>21657</v>
      </c>
      <c r="K11" s="4">
        <v>30000</v>
      </c>
    </row>
    <row r="12" spans="1:20" x14ac:dyDescent="0.25">
      <c r="A12" s="2" t="s">
        <v>36</v>
      </c>
      <c r="B12" s="9">
        <v>20000</v>
      </c>
      <c r="C12" t="s">
        <v>12</v>
      </c>
      <c r="I12" s="6">
        <v>18700</v>
      </c>
      <c r="K12" s="4">
        <v>25000</v>
      </c>
    </row>
    <row r="13" spans="1:20" x14ac:dyDescent="0.25">
      <c r="A13" s="2" t="s">
        <v>37</v>
      </c>
      <c r="B13" s="9">
        <v>8000</v>
      </c>
      <c r="C13" t="s">
        <v>1</v>
      </c>
      <c r="I13" s="3">
        <v>8000</v>
      </c>
      <c r="K13" s="3">
        <v>8000</v>
      </c>
    </row>
    <row r="14" spans="1:20" x14ac:dyDescent="0.25">
      <c r="A14" s="2" t="s">
        <v>38</v>
      </c>
      <c r="B14" s="9">
        <v>80</v>
      </c>
      <c r="C14" t="s">
        <v>2</v>
      </c>
      <c r="I14" s="3">
        <v>80</v>
      </c>
      <c r="K14" s="3">
        <v>80</v>
      </c>
    </row>
    <row r="15" spans="1:20" x14ac:dyDescent="0.25">
      <c r="A15" s="2" t="s">
        <v>39</v>
      </c>
      <c r="B15" s="10">
        <v>0.05</v>
      </c>
      <c r="C15" t="s">
        <v>3</v>
      </c>
      <c r="I15" s="3">
        <v>0.05</v>
      </c>
      <c r="K15" s="3">
        <v>0.05</v>
      </c>
    </row>
    <row r="16" spans="1:20" x14ac:dyDescent="0.25">
      <c r="A16" t="s">
        <v>40</v>
      </c>
      <c r="B16" s="12">
        <v>0.12</v>
      </c>
      <c r="C16" t="s">
        <v>4</v>
      </c>
      <c r="I16" s="1">
        <v>0.12</v>
      </c>
      <c r="K16" s="1">
        <v>0.12</v>
      </c>
    </row>
    <row r="17" spans="1:11" x14ac:dyDescent="0.25">
      <c r="A17" s="2" t="s">
        <v>41</v>
      </c>
      <c r="B17" s="3"/>
      <c r="C17" s="3" t="s">
        <v>53</v>
      </c>
      <c r="I17" s="3" t="s">
        <v>16</v>
      </c>
      <c r="K17" s="3" t="s">
        <v>16</v>
      </c>
    </row>
    <row r="18" spans="1:11" ht="30" x14ac:dyDescent="0.25">
      <c r="A18" s="2" t="s">
        <v>42</v>
      </c>
      <c r="B18" s="3" t="s">
        <v>17</v>
      </c>
      <c r="C18" t="s">
        <v>9</v>
      </c>
      <c r="I18" s="8" t="s">
        <v>17</v>
      </c>
      <c r="K18" s="8" t="s">
        <v>17</v>
      </c>
    </row>
    <row r="19" spans="1:11" x14ac:dyDescent="0.25">
      <c r="A19" s="2" t="s">
        <v>43</v>
      </c>
      <c r="B19" s="9">
        <v>1</v>
      </c>
      <c r="C19" t="s">
        <v>10</v>
      </c>
      <c r="I19" s="3">
        <v>1</v>
      </c>
      <c r="K19" s="3">
        <v>1</v>
      </c>
    </row>
    <row r="20" spans="1:11" x14ac:dyDescent="0.25">
      <c r="A20" s="2" t="s">
        <v>44</v>
      </c>
      <c r="B20" s="9">
        <v>14364</v>
      </c>
      <c r="C20" t="s">
        <v>5</v>
      </c>
      <c r="I20" s="3">
        <v>17040</v>
      </c>
      <c r="K20" s="3">
        <v>17040</v>
      </c>
    </row>
    <row r="21" spans="1:11" x14ac:dyDescent="0.25">
      <c r="A21" s="2" t="s">
        <v>45</v>
      </c>
      <c r="B21" s="9">
        <v>67</v>
      </c>
      <c r="C21" t="s">
        <v>6</v>
      </c>
      <c r="I21" s="3">
        <v>67</v>
      </c>
      <c r="K21" s="3">
        <v>67</v>
      </c>
    </row>
    <row r="22" spans="1:11" x14ac:dyDescent="0.25">
      <c r="A22" s="2" t="s">
        <v>46</v>
      </c>
      <c r="B22" s="10">
        <v>0.04</v>
      </c>
      <c r="C22" t="s">
        <v>7</v>
      </c>
      <c r="I22" s="3">
        <v>0.04</v>
      </c>
      <c r="K22" s="3">
        <v>0.04</v>
      </c>
    </row>
    <row r="23" spans="1:11" x14ac:dyDescent="0.25">
      <c r="A23" s="2" t="s">
        <v>47</v>
      </c>
      <c r="B23" s="9">
        <v>5000</v>
      </c>
      <c r="C23" t="s">
        <v>8</v>
      </c>
      <c r="I23" s="3">
        <v>5500</v>
      </c>
      <c r="K23" s="3">
        <v>1000</v>
      </c>
    </row>
    <row r="24" spans="1:11" x14ac:dyDescent="0.25">
      <c r="A24" t="s">
        <v>48</v>
      </c>
      <c r="B24" s="11">
        <v>20000</v>
      </c>
      <c r="I24" s="1">
        <v>20000</v>
      </c>
    </row>
    <row r="25" spans="1:11" x14ac:dyDescent="0.25">
      <c r="A25" s="2" t="s">
        <v>49</v>
      </c>
      <c r="B25" s="1" t="s">
        <v>23</v>
      </c>
      <c r="C25" t="s">
        <v>24</v>
      </c>
    </row>
    <row r="26" spans="1:11" ht="19.5" customHeight="1" x14ac:dyDescent="0.25">
      <c r="A26" t="s">
        <v>50</v>
      </c>
      <c r="B26" s="12">
        <v>0.04</v>
      </c>
      <c r="C26" t="s">
        <v>25</v>
      </c>
      <c r="I26" s="7" t="s">
        <v>22</v>
      </c>
    </row>
    <row r="27" spans="1:11" x14ac:dyDescent="0.25">
      <c r="A27" s="2" t="s">
        <v>51</v>
      </c>
      <c r="B27" s="12">
        <v>0</v>
      </c>
    </row>
    <row r="28" spans="1:11" x14ac:dyDescent="0.25">
      <c r="A28" t="s">
        <v>52</v>
      </c>
      <c r="B28" s="13">
        <v>0.01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ian beeton</cp:lastModifiedBy>
  <dcterms:created xsi:type="dcterms:W3CDTF">2025-08-23T16:07:25Z</dcterms:created>
  <dcterms:modified xsi:type="dcterms:W3CDTF">2026-05-12T17:42:33Z</dcterms:modified>
</cp:coreProperties>
</file>