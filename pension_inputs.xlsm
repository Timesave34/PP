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nbe\PyPen1\"/>
    </mc:Choice>
  </mc:AlternateContent>
  <xr:revisionPtr revIDLastSave="0" documentId="13_ncr:1_{BEDE9713-C5CF-4725-9254-F50D3ED7C05A}" xr6:coauthVersionLast="47" xr6:coauthVersionMax="47" xr10:uidLastSave="{00000000-0000-0000-0000-000000000000}"/>
  <bookViews>
    <workbookView xWindow="6525" yWindow="2535" windowWidth="13935" windowHeight="10305" xr2:uid="{00000000-000D-0000-FFFF-FFFF00000000}"/>
  </bookViews>
  <sheets>
    <sheet name="Inputs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2" l="1"/>
  <c r="S5" i="2"/>
  <c r="S3" i="2"/>
  <c r="T6" i="2"/>
  <c r="S6" i="2"/>
</calcChain>
</file>

<file path=xl/sharedStrings.xml><?xml version="1.0" encoding="utf-8"?>
<sst xmlns="http://schemas.openxmlformats.org/spreadsheetml/2006/main" count="96" uniqueCount="92">
  <si>
    <t>1 Current Age</t>
  </si>
  <si>
    <t>2 Retirement Age</t>
  </si>
  <si>
    <t>3 Life Expectancy</t>
  </si>
  <si>
    <t>4 Current Savings</t>
  </si>
  <si>
    <t>5 Annual Contribution</t>
  </si>
  <si>
    <t>Starting pension pot (£). Higher savings increase success rate and final balance. E.g., £600,000 supports £33,000 spending with 87% success.</t>
  </si>
  <si>
    <t>Yearly addition to pension (£) before retirement. Set to 0 as you’re retired. Non-zero values would grow the balance, improving success rate.</t>
  </si>
  <si>
    <t>Extra yearly spending (£) until Holiday End Age, grows with inflation. £8,000 adds to £25,000 base, shown in blue chart segment.</t>
  </si>
  <si>
    <t>Age when holiday expenses stop. At 80, spending drops to base (£25,000, inflation-adjusted, ~£27,517 at 81), reducing</t>
  </si>
  <si>
    <t>Average annual investment return (5%). Higher returns grow balance faster, increasing success rate and median balance (~£756,411.71 at 95).</t>
  </si>
  <si>
    <t>Variability of returns (12%). Higher volatility increases risk of low returns, lowering success rate (87%) and median balance due to potential losses.</t>
  </si>
  <si>
    <t>Annual state pension (£) at start age (67). £17,040 reduces net drawdown (~£15,960 initially), boosting balance and success rate.</t>
  </si>
  <si>
    <t>Age when state pension begins. Earlier start (e.g., 65) increases balance by reducing drawdowns sooner.</t>
  </si>
  <si>
    <t>Annual growth of state pension (4%). Higher growth (e.g., 5%) increases pension income, supporting higher balance and success rate.</t>
  </si>
  <si>
    <t>Number of Monte Carlo simulations. 1,000 ensures reliable success rate (87%) and median balance estimates. Higher values improve accuracy but slow the model.</t>
  </si>
  <si>
    <t>Comma-separated inflation rates (e.g., 3.8%, 3.4%) applied for Years per Rate.</t>
  </si>
  <si>
    <t>Number of years each inflation rate applies before moving to the next.</t>
  </si>
  <si>
    <t>6 Base Expenses Go-Go</t>
  </si>
  <si>
    <t>7 Base Expenses Slow-Go</t>
  </si>
  <si>
    <t>Annual spending (£) ages 58-68, grows with inflation.</t>
  </si>
  <si>
    <t>Annual spending (£) ages 81-95, grows with inflation.</t>
  </si>
  <si>
    <t>Annual spending (£) ages 69-80, grows with inflation.</t>
  </si>
  <si>
    <t>8 Base Expenses No-Go</t>
  </si>
  <si>
    <t>9 Holiday Expenses</t>
  </si>
  <si>
    <t>10 Holiday End Age</t>
  </si>
  <si>
    <t>Comma-separated gifts (£-age, e.g., 25000-62 for £25,000 per child at 62).</t>
  </si>
  <si>
    <t>11 Expected Return</t>
  </si>
  <si>
    <t>12 Return Volatility</t>
  </si>
  <si>
    <t>13 Gifts</t>
  </si>
  <si>
    <t>14 Inflation Rates</t>
  </si>
  <si>
    <t>15 Years per rate</t>
  </si>
  <si>
    <t>16 State Pension</t>
  </si>
  <si>
    <t>17 State Pension Start Age</t>
  </si>
  <si>
    <t>18 Pension Growth</t>
  </si>
  <si>
    <t>19 Num Simulations</t>
  </si>
  <si>
    <t>Label</t>
  </si>
  <si>
    <t>Data</t>
  </si>
  <si>
    <t>df.iloc[1,1]</t>
  </si>
  <si>
    <t>df.iloc[2,1]</t>
  </si>
  <si>
    <t>df.iloc[3,1]</t>
  </si>
  <si>
    <t>df.iloc[4,1]</t>
  </si>
  <si>
    <t>df.iloc[5,1]</t>
  </si>
  <si>
    <t>df.iloc[6,1]</t>
  </si>
  <si>
    <t>df.iloc[7,1]</t>
  </si>
  <si>
    <t>df.iloc[8,1]</t>
  </si>
  <si>
    <t>df.iloc[9,1]</t>
  </si>
  <si>
    <t>df.iloc[10,1]</t>
  </si>
  <si>
    <t>df.iloc[11,1]</t>
  </si>
  <si>
    <t>df.iloc[12,1]</t>
  </si>
  <si>
    <t>df.iloc[13,1]</t>
  </si>
  <si>
    <t>df.iloc[14,1]</t>
  </si>
  <si>
    <t>df.iloc[15,1]</t>
  </si>
  <si>
    <t>df.iloc[16,1]</t>
  </si>
  <si>
    <t>df.iloc[17,1]</t>
  </si>
  <si>
    <t>df.iloc[18,1]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</si>
  <si>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</si>
  <si>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</si>
  <si>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</si>
  <si>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</si>
  <si>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</si>
  <si>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</si>
  <si>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</si>
  <si>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</si>
  <si>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</si>
  <si>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</si>
  <si>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</si>
  <si>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</si>
  <si>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</si>
  <si>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</si>
  <si>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</si>
  <si>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</si>
  <si>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</si>
  <si>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</si>
  <si>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</si>
  <si>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2000-62,4000-65</t>
  </si>
  <si>
    <t>df.iloc[19,1]</t>
  </si>
  <si>
    <t>the python df.iloc row, col, but row 1 is 0 e.g. df.iloc[0,1] is b1, df.iloc[0,0] is a1</t>
  </si>
  <si>
    <t>0.038,0.034,0.032,0.030,0.028,0.026,0.024,0.022,0.020</t>
  </si>
  <si>
    <t>Dentist</t>
  </si>
  <si>
    <t>Mr Ho, Dental Hospital.</t>
  </si>
  <si>
    <t>Telephone appointment.</t>
  </si>
  <si>
    <t>20 Final Balance</t>
  </si>
  <si>
    <t>Data Base Plan Success Rate: 82.87%</t>
  </si>
  <si>
    <t>Suggested Expenses (Comparison Plan): Go-Go £24,871, Slow-Go £21,140, No-Go £18,253 (holidays £8,000 unchanged)</t>
  </si>
  <si>
    <t>22 Variable Withdrawal Rate</t>
  </si>
  <si>
    <t>21 Withdrawal Mode</t>
  </si>
  <si>
    <t>fixed</t>
  </si>
  <si>
    <t>fixed or variable</t>
  </si>
  <si>
    <t>0.04 = 4%</t>
  </si>
  <si>
    <t>23 Inflation Return Correlation</t>
  </si>
  <si>
    <t>24 Inflation Volatility</t>
  </si>
  <si>
    <t>1000-62,1000-65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</si>
</sst>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14" fontId="0" fillId="0" borderId="0" xfId="0" applyNumberFormat="1"/>
    <xf numFmtId="3" fontId="3" fillId="2" borderId="0" xfId="0" applyNumberFormat="1" applyFont="1" applyFill="1" applyAlignment="1">
      <alignment horizontal="right"/>
    </xf>
    <xf numFmtId="0" fontId="0" fillId="0" borderId="0" xfId="0" applyAlignment="1">
      <alignment horizontal="right" wrapText="1"/>
    </xf>
    <xf numFmtId="0" fontId="0" fillId="2" borderId="0" xfId="0" applyFill="1" applyAlignment="1">
      <alignment horizontal="right" wrapText="1"/>
    </xf>
    <xf numFmtId="1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3BD7-74C0-46C7-A729-C687C72DB22B}">
  <sheetPr codeName="Sheet1"/>
  <dimension ref="A1:T25"/>
  <sheetViews>
    <sheetView tabSelected="1" topLeftCell="A7" zoomScale="80" zoomScaleNormal="80" workbookViewId="0">
      <selection activeCell="B14" sqref="B14"/>
    </sheetView>
  </sheetViews>
  <sheetFormatPr defaultRowHeight="15" x14ac:dyDescent="0.25"/>
  <cols>
    <col min="1" max="1" width="24.42578125" bestFit="1" customWidth="1"/>
    <col min="2" max="2" width="64.85546875" style="1" customWidth="1"/>
    <col min="3" max="3" width="24" customWidth="1"/>
    <col min="4" max="4" width="11.5703125" bestFit="1" customWidth="1"/>
    <col min="5" max="5" width="4.5703125" bestFit="1" customWidth="1"/>
    <col min="9" max="9" width="26.85546875" style="1" customWidth="1"/>
    <col min="11" max="11" width="29.85546875" style="1" customWidth="1"/>
    <col min="17" max="17" width="11.5703125" bestFit="1" customWidth="1"/>
    <col min="18" max="18" width="24.5703125" bestFit="1" customWidth="1"/>
  </cols>
  <sheetData>
    <row r="1" spans="1:20" x14ac:dyDescent="0.25">
      <c r="A1" t="s">
        <v>35</v>
      </c>
      <c r="B1" s="1" t="s">
        <v>36</v>
      </c>
      <c r="C1" t="s">
        <v>76</v>
      </c>
      <c r="I1" s="1" t="s">
        <v>82</v>
      </c>
      <c r="K1" s="1" t="s">
        <v>36</v>
      </c>
    </row>
    <row r="2" spans="1:20" x14ac:dyDescent="0.25">
      <c r="A2" s="2" t="s">
        <v>0</v>
      </c>
      <c r="B2" s="9">
        <v>59</v>
      </c>
      <c r="D2" t="s">
        <v>37</v>
      </c>
      <c r="E2" t="s">
        <v>55</v>
      </c>
      <c r="I2" s="3">
        <v>58</v>
      </c>
      <c r="K2" s="3">
        <v>58</v>
      </c>
      <c r="Q2" s="5">
        <v>45889</v>
      </c>
      <c r="R2" t="s">
        <v>78</v>
      </c>
    </row>
    <row r="3" spans="1:20" x14ac:dyDescent="0.25">
      <c r="A3" s="2" t="s">
        <v>1</v>
      </c>
      <c r="B3" s="9">
        <v>59</v>
      </c>
      <c r="D3" t="s">
        <v>38</v>
      </c>
      <c r="E3" t="s">
        <v>56</v>
      </c>
      <c r="I3" s="3">
        <v>58</v>
      </c>
      <c r="K3" s="3">
        <v>58</v>
      </c>
      <c r="Q3" s="5">
        <v>45891</v>
      </c>
      <c r="R3" t="s">
        <v>79</v>
      </c>
      <c r="S3">
        <f>Q3-Q2</f>
        <v>2</v>
      </c>
    </row>
    <row r="4" spans="1:20" x14ac:dyDescent="0.25">
      <c r="A4" s="2" t="s">
        <v>2</v>
      </c>
      <c r="B4" s="9">
        <v>95</v>
      </c>
      <c r="D4" t="s">
        <v>39</v>
      </c>
      <c r="E4" t="s">
        <v>57</v>
      </c>
      <c r="I4" s="3">
        <v>95</v>
      </c>
      <c r="K4" s="3">
        <v>95</v>
      </c>
    </row>
    <row r="5" spans="1:20" x14ac:dyDescent="0.25">
      <c r="A5" s="2" t="s">
        <v>3</v>
      </c>
      <c r="B5" s="9">
        <v>750000</v>
      </c>
      <c r="C5" t="s">
        <v>5</v>
      </c>
      <c r="D5" t="s">
        <v>40</v>
      </c>
      <c r="E5" t="s">
        <v>58</v>
      </c>
      <c r="I5" s="3">
        <v>850000</v>
      </c>
      <c r="K5" s="3">
        <v>850000</v>
      </c>
      <c r="Q5" s="5">
        <v>45939</v>
      </c>
      <c r="S5">
        <f>Q5-Q2</f>
        <v>50</v>
      </c>
      <c r="T5">
        <f>S5/7</f>
        <v>7.1428571428571432</v>
      </c>
    </row>
    <row r="6" spans="1:20" x14ac:dyDescent="0.25">
      <c r="A6" s="2" t="s">
        <v>4</v>
      </c>
      <c r="B6" s="9">
        <v>0</v>
      </c>
      <c r="C6" t="s">
        <v>6</v>
      </c>
      <c r="D6" t="s">
        <v>41</v>
      </c>
      <c r="E6" t="s">
        <v>59</v>
      </c>
      <c r="I6" s="3">
        <v>0</v>
      </c>
      <c r="K6" s="3">
        <v>0</v>
      </c>
      <c r="Q6" s="5">
        <v>45944</v>
      </c>
      <c r="R6" t="s">
        <v>80</v>
      </c>
      <c r="S6">
        <f>Q6-Q2</f>
        <v>55</v>
      </c>
      <c r="T6">
        <f>S6/7</f>
        <v>7.8571428571428568</v>
      </c>
    </row>
    <row r="7" spans="1:20" x14ac:dyDescent="0.25">
      <c r="A7" s="2" t="s">
        <v>17</v>
      </c>
      <c r="B7" s="9">
        <v>25500</v>
      </c>
      <c r="C7" t="s">
        <v>19</v>
      </c>
      <c r="D7" t="s">
        <v>42</v>
      </c>
      <c r="E7" t="s">
        <v>60</v>
      </c>
      <c r="I7" s="6">
        <v>25479</v>
      </c>
      <c r="K7" s="4">
        <v>35000</v>
      </c>
    </row>
    <row r="8" spans="1:20" x14ac:dyDescent="0.25">
      <c r="A8" s="2" t="s">
        <v>18</v>
      </c>
      <c r="B8" s="9">
        <v>23000</v>
      </c>
      <c r="C8" t="s">
        <v>21</v>
      </c>
      <c r="D8" t="s">
        <v>43</v>
      </c>
      <c r="E8" t="s">
        <v>61</v>
      </c>
      <c r="I8" s="6">
        <v>21657</v>
      </c>
      <c r="K8" s="4">
        <v>30000</v>
      </c>
    </row>
    <row r="9" spans="1:20" x14ac:dyDescent="0.25">
      <c r="A9" s="2" t="s">
        <v>22</v>
      </c>
      <c r="B9" s="9">
        <v>20000</v>
      </c>
      <c r="C9" t="s">
        <v>20</v>
      </c>
      <c r="D9" t="s">
        <v>44</v>
      </c>
      <c r="E9" t="s">
        <v>62</v>
      </c>
      <c r="I9" s="6">
        <v>18700</v>
      </c>
      <c r="K9" s="4">
        <v>25000</v>
      </c>
    </row>
    <row r="10" spans="1:20" x14ac:dyDescent="0.25">
      <c r="A10" s="2" t="s">
        <v>23</v>
      </c>
      <c r="B10" s="9">
        <v>8000</v>
      </c>
      <c r="C10" t="s">
        <v>7</v>
      </c>
      <c r="D10" t="s">
        <v>45</v>
      </c>
      <c r="E10" t="s">
        <v>63</v>
      </c>
      <c r="I10" s="3">
        <v>8000</v>
      </c>
      <c r="K10" s="3">
        <v>8000</v>
      </c>
    </row>
    <row r="11" spans="1:20" x14ac:dyDescent="0.25">
      <c r="A11" s="2" t="s">
        <v>24</v>
      </c>
      <c r="B11" s="9">
        <v>80</v>
      </c>
      <c r="C11" t="s">
        <v>8</v>
      </c>
      <c r="D11" t="s">
        <v>46</v>
      </c>
      <c r="E11" t="s">
        <v>64</v>
      </c>
      <c r="I11" s="3">
        <v>80</v>
      </c>
      <c r="K11" s="3">
        <v>80</v>
      </c>
    </row>
    <row r="12" spans="1:20" x14ac:dyDescent="0.25">
      <c r="A12" s="2" t="s">
        <v>26</v>
      </c>
      <c r="B12" s="10">
        <v>0.05</v>
      </c>
      <c r="C12" t="s">
        <v>9</v>
      </c>
      <c r="D12" t="s">
        <v>47</v>
      </c>
      <c r="E12" t="s">
        <v>65</v>
      </c>
      <c r="I12" s="3">
        <v>0.05</v>
      </c>
      <c r="K12" s="3">
        <v>0.05</v>
      </c>
    </row>
    <row r="13" spans="1:20" x14ac:dyDescent="0.25">
      <c r="A13" t="s">
        <v>27</v>
      </c>
      <c r="B13" s="12">
        <v>0.12</v>
      </c>
      <c r="C13" t="s">
        <v>10</v>
      </c>
      <c r="D13" t="s">
        <v>48</v>
      </c>
      <c r="E13" t="s">
        <v>66</v>
      </c>
      <c r="I13" s="1">
        <v>0.12</v>
      </c>
      <c r="K13" s="1">
        <v>0.12</v>
      </c>
    </row>
    <row r="14" spans="1:20" x14ac:dyDescent="0.25">
      <c r="A14" s="2" t="s">
        <v>28</v>
      </c>
      <c r="B14" s="3" t="s">
        <v>91</v>
      </c>
      <c r="C14" t="s">
        <v>25</v>
      </c>
      <c r="D14" t="s">
        <v>49</v>
      </c>
      <c r="E14" t="s">
        <v>67</v>
      </c>
      <c r="I14" s="3" t="s">
        <v>74</v>
      </c>
      <c r="K14" s="3" t="s">
        <v>74</v>
      </c>
    </row>
    <row r="15" spans="1:20" ht="30" x14ac:dyDescent="0.25">
      <c r="A15" s="2" t="s">
        <v>29</v>
      </c>
      <c r="B15" s="3" t="s">
        <v>77</v>
      </c>
      <c r="C15" t="s">
        <v>15</v>
      </c>
      <c r="D15" t="s">
        <v>50</v>
      </c>
      <c r="E15" t="s">
        <v>68</v>
      </c>
      <c r="I15" s="8" t="s">
        <v>77</v>
      </c>
      <c r="K15" s="8" t="s">
        <v>77</v>
      </c>
    </row>
    <row r="16" spans="1:20" x14ac:dyDescent="0.25">
      <c r="A16" s="2" t="s">
        <v>30</v>
      </c>
      <c r="B16" s="9">
        <v>1</v>
      </c>
      <c r="C16" t="s">
        <v>16</v>
      </c>
      <c r="D16" t="s">
        <v>51</v>
      </c>
      <c r="E16" t="s">
        <v>69</v>
      </c>
      <c r="I16" s="3">
        <v>1</v>
      </c>
      <c r="K16" s="3">
        <v>1</v>
      </c>
    </row>
    <row r="17" spans="1:11" x14ac:dyDescent="0.25">
      <c r="A17" s="2" t="s">
        <v>31</v>
      </c>
      <c r="B17" s="9">
        <v>14364</v>
      </c>
      <c r="C17" t="s">
        <v>11</v>
      </c>
      <c r="D17" t="s">
        <v>52</v>
      </c>
      <c r="E17" t="s">
        <v>70</v>
      </c>
      <c r="I17" s="3">
        <v>17040</v>
      </c>
      <c r="K17" s="3">
        <v>17040</v>
      </c>
    </row>
    <row r="18" spans="1:11" x14ac:dyDescent="0.25">
      <c r="A18" s="2" t="s">
        <v>32</v>
      </c>
      <c r="B18" s="9">
        <v>67</v>
      </c>
      <c r="C18" t="s">
        <v>12</v>
      </c>
      <c r="D18" t="s">
        <v>53</v>
      </c>
      <c r="E18" t="s">
        <v>71</v>
      </c>
      <c r="I18" s="3">
        <v>67</v>
      </c>
      <c r="K18" s="3">
        <v>67</v>
      </c>
    </row>
    <row r="19" spans="1:11" x14ac:dyDescent="0.25">
      <c r="A19" s="2" t="s">
        <v>33</v>
      </c>
      <c r="B19" s="10">
        <v>0.04</v>
      </c>
      <c r="C19" t="s">
        <v>13</v>
      </c>
      <c r="D19" t="s">
        <v>54</v>
      </c>
      <c r="E19" t="s">
        <v>72</v>
      </c>
      <c r="I19" s="3">
        <v>0.04</v>
      </c>
      <c r="K19" s="3">
        <v>0.04</v>
      </c>
    </row>
    <row r="20" spans="1:11" x14ac:dyDescent="0.25">
      <c r="A20" s="2" t="s">
        <v>34</v>
      </c>
      <c r="B20" s="9">
        <v>5000</v>
      </c>
      <c r="C20" t="s">
        <v>14</v>
      </c>
      <c r="D20" t="s">
        <v>75</v>
      </c>
      <c r="E20" t="s">
        <v>73</v>
      </c>
      <c r="I20" s="3">
        <v>5500</v>
      </c>
      <c r="K20" s="3">
        <v>1000</v>
      </c>
    </row>
    <row r="21" spans="1:11" x14ac:dyDescent="0.25">
      <c r="A21" t="s">
        <v>81</v>
      </c>
      <c r="B21" s="11">
        <v>20000</v>
      </c>
      <c r="I21" s="1">
        <v>20000</v>
      </c>
    </row>
    <row r="22" spans="1:11" x14ac:dyDescent="0.25">
      <c r="A22" s="2" t="s">
        <v>85</v>
      </c>
      <c r="B22" s="1" t="s">
        <v>86</v>
      </c>
      <c r="C22" t="s">
        <v>87</v>
      </c>
    </row>
    <row r="23" spans="1:11" ht="19.5" customHeight="1" x14ac:dyDescent="0.25">
      <c r="A23" t="s">
        <v>84</v>
      </c>
      <c r="B23" s="12">
        <v>0.04</v>
      </c>
      <c r="C23" t="s">
        <v>88</v>
      </c>
      <c r="I23" s="7" t="s">
        <v>83</v>
      </c>
    </row>
    <row r="24" spans="1:11" x14ac:dyDescent="0.25">
      <c r="A24" s="2" t="s">
        <v>89</v>
      </c>
      <c r="B24" s="12">
        <v>0</v>
      </c>
    </row>
    <row r="25" spans="1:11" x14ac:dyDescent="0.25">
      <c r="A25" t="s">
        <v>90</v>
      </c>
      <c r="B25" s="13">
        <v>0.01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ian beeton</cp:lastModifiedBy>
  <dcterms:created xsi:type="dcterms:W3CDTF">2025-08-23T16:07:25Z</dcterms:created>
  <dcterms:modified xsi:type="dcterms:W3CDTF">2026-05-11T11:36:20Z</dcterms:modified>
</cp:coreProperties>
</file>